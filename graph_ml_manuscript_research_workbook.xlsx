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usti\Dropbox\My PC (LAPTOP-EITJ3H7R)\Downloads\"/>
    </mc:Choice>
  </mc:AlternateContent>
  <xr:revisionPtr revIDLastSave="0" documentId="8_{2E2053FB-4155-4B28-B175-7FE6A6255D45}" xr6:coauthVersionLast="47" xr6:coauthVersionMax="47" xr10:uidLastSave="{00000000-0000-0000-0000-000000000000}"/>
  <bookViews>
    <workbookView xWindow="28680" yWindow="-120" windowWidth="19440" windowHeight="14880" firstSheet="5" activeTab="7" xr2:uid="{00000000-000D-0000-FFFF-FFFF00000000}"/>
  </bookViews>
  <sheets>
    <sheet name="Read Me" sheetId="1" r:id="rId1"/>
    <sheet name="Experimental Config" sheetId="2" r:id="rId2"/>
    <sheet name="Model Results" sheetId="3" r:id="rId3"/>
    <sheet name="Remediation Budgets" sheetId="4" r:id="rId4"/>
    <sheet name="Attack Path Counts" sheetId="5" r:id="rId5"/>
    <sheet name="Critical Reachability" sheetId="6" r:id="rId6"/>
    <sheet name="Remediation Efficiency" sheetId="7" r:id="rId7"/>
    <sheet name="Validation Gap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4" i="6"/>
  <c r="D3" i="6"/>
  <c r="D2" i="6"/>
  <c r="C17" i="5"/>
  <c r="D17" i="5" s="1"/>
  <c r="E17" i="5" s="1"/>
  <c r="F17" i="5" s="1"/>
  <c r="C16" i="5"/>
  <c r="D16" i="5" s="1"/>
  <c r="E16" i="5" s="1"/>
  <c r="F16" i="5" s="1"/>
  <c r="C15" i="5"/>
  <c r="D15" i="5" s="1"/>
  <c r="E15" i="5" s="1"/>
  <c r="F15" i="5" s="1"/>
  <c r="C14" i="5"/>
  <c r="D14" i="5" s="1"/>
  <c r="E14" i="5" s="1"/>
  <c r="F14" i="5" s="1"/>
  <c r="C13" i="5"/>
  <c r="D13" i="5" s="1"/>
  <c r="C12" i="5"/>
  <c r="D12" i="5" s="1"/>
  <c r="C11" i="5"/>
  <c r="D11" i="5" s="1"/>
  <c r="C10" i="5"/>
  <c r="D10" i="5" s="1"/>
  <c r="C9" i="5"/>
  <c r="D9" i="5" s="1"/>
  <c r="E9" i="5" s="1"/>
  <c r="F9" i="5" s="1"/>
  <c r="C8" i="5"/>
  <c r="D8" i="5" s="1"/>
  <c r="E8" i="5" s="1"/>
  <c r="F8" i="5" s="1"/>
  <c r="C7" i="5"/>
  <c r="D7" i="5" s="1"/>
  <c r="E7" i="5" s="1"/>
  <c r="F7" i="5" s="1"/>
  <c r="C6" i="5"/>
  <c r="D6" i="5" s="1"/>
  <c r="E6" i="5" s="1"/>
  <c r="F6" i="5" s="1"/>
  <c r="C5" i="5"/>
  <c r="D5" i="5" s="1"/>
  <c r="E5" i="5" s="1"/>
  <c r="F5" i="5" s="1"/>
  <c r="C4" i="5"/>
  <c r="D4" i="5" s="1"/>
  <c r="E4" i="5" s="1"/>
  <c r="F4" i="5" s="1"/>
  <c r="C3" i="5"/>
  <c r="D3" i="5" s="1"/>
  <c r="E3" i="5" s="1"/>
  <c r="F3" i="5" s="1"/>
  <c r="C2" i="5"/>
  <c r="D2" i="5" s="1"/>
  <c r="E2" i="5" s="1"/>
  <c r="F2" i="5" s="1"/>
  <c r="E13" i="5" l="1"/>
  <c r="F13" i="5" s="1"/>
  <c r="C5" i="7"/>
  <c r="D5" i="7" s="1"/>
  <c r="E12" i="5"/>
  <c r="F12" i="5" s="1"/>
  <c r="C4" i="7"/>
  <c r="D4" i="7" s="1"/>
  <c r="E11" i="5"/>
  <c r="F11" i="5" s="1"/>
  <c r="C3" i="7"/>
  <c r="D3" i="7" s="1"/>
  <c r="E10" i="5"/>
  <c r="F10" i="5" s="1"/>
  <c r="C2" i="7"/>
  <c r="D2" i="7" s="1"/>
</calcChain>
</file>

<file path=xl/sharedStrings.xml><?xml version="1.0" encoding="utf-8"?>
<sst xmlns="http://schemas.openxmlformats.org/spreadsheetml/2006/main" count="118" uniqueCount="80">
  <si>
    <t>Section</t>
  </si>
  <si>
    <t>Details</t>
  </si>
  <si>
    <t>Purpose</t>
  </si>
  <si>
    <t>Manuscript-aligned reporting workbook, NOT independently reproduced experimental data.</t>
  </si>
  <si>
    <t>Evidence status</t>
  </si>
  <si>
    <t>All numerical benchmark values are illustrative manuscript-reported values. No raw graph, prediction, training logs, or run outputs were supplied.</t>
  </si>
  <si>
    <t>Source</t>
  </si>
  <si>
    <t>Graph-Based Machine Learning for Attack-Path Vulnerability Prioritization (uploaded manuscript), Tables 1–8.</t>
  </si>
  <si>
    <t>Interpretation</t>
  </si>
  <si>
    <t>Calculated counts are arithmetic transformations of illustrative percentages, not observed experimental records.</t>
  </si>
  <si>
    <t>Required to claim actual experiments</t>
  </si>
  <si>
    <t>Supply raw node/edge data or deterministic generator, vulnerability records, model code, prediction outputs, remediation logs, run seeds, and repeated-trial outputs.</t>
  </si>
  <si>
    <t>How to use</t>
  </si>
  <si>
    <t>Model Results and Remediation Budgets hold manuscript inputs; derived sheets use formulas. Validation Gaps records missing evidence.</t>
  </si>
  <si>
    <t>Parameter</t>
  </si>
  <si>
    <t>Manuscript value</t>
  </si>
  <si>
    <t>Initial viable attack paths</t>
  </si>
  <si>
    <t>Table 1</t>
  </si>
  <si>
    <t>Designated critical assets</t>
  </si>
  <si>
    <t>Initially reachable critical assets</t>
  </si>
  <si>
    <t>Graph representation</t>
  </si>
  <si>
    <t>Directed heterogeneous</t>
  </si>
  <si>
    <t>Methodology / Table 1</t>
  </si>
  <si>
    <t>Node types</t>
  </si>
  <si>
    <t>Assets; vulnerabilities; identities; privileges; critical resources</t>
  </si>
  <si>
    <t>Edge types</t>
  </si>
  <si>
    <t>Reachability; vulnerability associations; authentication; privilege transitions</t>
  </si>
  <si>
    <t>Data environment</t>
  </si>
  <si>
    <t>Public vulnerability information + simulated topology</t>
  </si>
  <si>
    <t>Remediation budgets</t>
  </si>
  <si>
    <t>10, 20, 30, 50</t>
  </si>
  <si>
    <t>Observation period</t>
  </si>
  <si>
    <t>Not specified</t>
  </si>
  <si>
    <t>Methodology</t>
  </si>
  <si>
    <t>Number of vulnerability records</t>
  </si>
  <si>
    <t>Model</t>
  </si>
  <si>
    <t>Precision</t>
  </si>
  <si>
    <t>Recall</t>
  </si>
  <si>
    <t>F1</t>
  </si>
  <si>
    <t>ROC-AUC</t>
  </si>
  <si>
    <t>GNN</t>
  </si>
  <si>
    <t>XGBoost</t>
  </si>
  <si>
    <t>Random Forest</t>
  </si>
  <si>
    <t>CVSS</t>
  </si>
  <si>
    <t>Remediations</t>
  </si>
  <si>
    <t>GNN eliminated %</t>
  </si>
  <si>
    <t>XGBoost eliminated %</t>
  </si>
  <si>
    <t>RF eliminated %</t>
  </si>
  <si>
    <t>CVSS eliminated %</t>
  </si>
  <si>
    <t>Budget</t>
  </si>
  <si>
    <t>Eliminated %</t>
  </si>
  <si>
    <t>Eliminated paths</t>
  </si>
  <si>
    <t>Remaining paths</t>
  </si>
  <si>
    <t>Residual exposure %</t>
  </si>
  <si>
    <t>Initially reachable</t>
  </si>
  <si>
    <t>Remaining at budget 30</t>
  </si>
  <si>
    <t>Reduction %</t>
  </si>
  <si>
    <t>Paths per remediation</t>
  </si>
  <si>
    <t>Required evidence</t>
  </si>
  <si>
    <t>Why it matters</t>
  </si>
  <si>
    <t>Raw graph nodes and typed edges</t>
  </si>
  <si>
    <t>Cannot independently enumerate the 1,250 paths or recompute reachability</t>
  </si>
  <si>
    <t>Source vulnerability records and extraction dates</t>
  </si>
  <si>
    <t>Cannot verify input population or provenance</t>
  </si>
  <si>
    <t>Label rules and ground-truth records</t>
  </si>
  <si>
    <t>Cannot reconstruct predictive labels or evaluate leakage</t>
  </si>
  <si>
    <t>GNN architecture, RF/XGBoost configurations and seeds</t>
  </si>
  <si>
    <t>Cannot rerun model training</t>
  </si>
  <si>
    <t>Train/validation/test splits</t>
  </si>
  <si>
    <t>Cannot reproduce predictive scores</t>
  </si>
  <si>
    <t>Predictions, probabilities and reference labels</t>
  </si>
  <si>
    <t>Cannot recompute precision, recall, F1, ROC-AUC</t>
  </si>
  <si>
    <t>Remediation ranking and graph updates per budget</t>
  </si>
  <si>
    <t>Cannot verify path elimination as observed simulation results</t>
  </si>
  <si>
    <t>Independent repeated trials, confidence intervals and tests</t>
  </si>
  <si>
    <t>Cannot establish statistical significance</t>
  </si>
  <si>
    <t>Feature-equivalent RF/XGBoost comparisons</t>
  </si>
  <si>
    <t>Cannot isolate GNN architecture advantage</t>
  </si>
  <si>
    <t>Study observation period and vulnerability record count</t>
  </si>
  <si>
    <t>Cannot audit dataset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</si>
</sst>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9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9" customWidth="1"/>
    <col min="2" max="2" width="110" customWidth="1"/>
  </cols>
  <sheetData>
    <row r="1" spans="1:2" ht="30" customHeigh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 activeCell="C1" sqref="C1:C1048576"/>
    </sheetView>
  </sheetViews>
  <sheetFormatPr defaultRowHeight="13.8"/>
  <cols>
    <col min="1" max="1" width="38" customWidth="1"/>
    <col min="2" max="2" width="68" customWidth="1"/>
    <col min="3" max="3" width="26" customWidth="1"/>
  </cols>
  <sheetData>
    <row r="1" spans="1:3" ht="30" customHeight="1">
      <c r="A1" s="1" t="s">
        <v>14</v>
      </c>
      <c r="B1" s="1" t="s">
        <v>15</v>
      </c>
      <c r="C1" s="1" t="s">
        <v>6</v>
      </c>
    </row>
    <row r="2" spans="1:3">
      <c r="A2" t="s">
        <v>16</v>
      </c>
      <c r="B2">
        <v>1250</v>
      </c>
      <c r="C2" t="s">
        <v>17</v>
      </c>
    </row>
    <row r="3" spans="1:3">
      <c r="A3" t="s">
        <v>18</v>
      </c>
      <c r="B3">
        <v>100</v>
      </c>
      <c r="C3" t="s">
        <v>17</v>
      </c>
    </row>
    <row r="4" spans="1:3">
      <c r="A4" t="s">
        <v>19</v>
      </c>
      <c r="B4">
        <v>80</v>
      </c>
      <c r="C4" t="s">
        <v>17</v>
      </c>
    </row>
    <row r="5" spans="1:3">
      <c r="A5" t="s">
        <v>20</v>
      </c>
      <c r="B5" t="s">
        <v>21</v>
      </c>
      <c r="C5" t="s">
        <v>22</v>
      </c>
    </row>
    <row r="6" spans="1:3">
      <c r="A6" t="s">
        <v>23</v>
      </c>
      <c r="B6" t="s">
        <v>24</v>
      </c>
      <c r="C6" t="s">
        <v>17</v>
      </c>
    </row>
    <row r="7" spans="1:3">
      <c r="A7" t="s">
        <v>25</v>
      </c>
      <c r="B7" t="s">
        <v>26</v>
      </c>
      <c r="C7" t="s">
        <v>17</v>
      </c>
    </row>
    <row r="8" spans="1:3">
      <c r="A8" t="s">
        <v>27</v>
      </c>
      <c r="B8" t="s">
        <v>28</v>
      </c>
      <c r="C8" t="s">
        <v>17</v>
      </c>
    </row>
    <row r="9" spans="1:3">
      <c r="A9" t="s">
        <v>29</v>
      </c>
      <c r="B9" t="s">
        <v>30</v>
      </c>
      <c r="C9" t="s">
        <v>17</v>
      </c>
    </row>
    <row r="10" spans="1:3">
      <c r="A10" t="s">
        <v>31</v>
      </c>
      <c r="B10" t="s">
        <v>32</v>
      </c>
      <c r="C10" t="s">
        <v>33</v>
      </c>
    </row>
    <row r="11" spans="1:3">
      <c r="A11" t="s">
        <v>34</v>
      </c>
      <c r="B11" t="s">
        <v>32</v>
      </c>
      <c r="C1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 activeCell="F1" sqref="F1:F1048576"/>
    </sheetView>
  </sheetViews>
  <sheetFormatPr defaultRowHeight="13.8"/>
  <cols>
    <col min="1" max="1" width="22" customWidth="1"/>
    <col min="2" max="5" width="17" customWidth="1"/>
  </cols>
  <sheetData>
    <row r="1" spans="1:5" ht="30" customHeight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>
        <v>0.92</v>
      </c>
      <c r="C2">
        <v>0.9</v>
      </c>
      <c r="D2">
        <v>0.91</v>
      </c>
      <c r="E2">
        <v>0.96</v>
      </c>
    </row>
    <row r="3" spans="1:5">
      <c r="A3" t="s">
        <v>41</v>
      </c>
      <c r="B3">
        <v>0.88</v>
      </c>
      <c r="C3">
        <v>0.85</v>
      </c>
      <c r="D3">
        <v>0.86</v>
      </c>
      <c r="E3">
        <v>0.92</v>
      </c>
    </row>
    <row r="4" spans="1:5">
      <c r="A4" t="s">
        <v>42</v>
      </c>
      <c r="B4">
        <v>0.85</v>
      </c>
      <c r="C4">
        <v>0.82</v>
      </c>
      <c r="D4">
        <v>0.83</v>
      </c>
      <c r="E4">
        <v>0.89</v>
      </c>
    </row>
    <row r="5" spans="1:5">
      <c r="A5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F1" sqref="F1:F1048576"/>
    </sheetView>
  </sheetViews>
  <sheetFormatPr defaultRowHeight="13.8"/>
  <cols>
    <col min="1" max="1" width="20" customWidth="1"/>
    <col min="2" max="2" width="23" customWidth="1"/>
    <col min="3" max="3" width="26" customWidth="1"/>
    <col min="4" max="4" width="23" customWidth="1"/>
    <col min="5" max="5" width="25" customWidth="1"/>
  </cols>
  <sheetData>
    <row r="1" spans="1:5" ht="30" customHeight="1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>
        <v>10</v>
      </c>
      <c r="B2" s="2">
        <v>0.38</v>
      </c>
      <c r="C2" s="2">
        <v>0.3</v>
      </c>
      <c r="D2" s="2">
        <v>0.26</v>
      </c>
      <c r="E2" s="2">
        <v>0.18</v>
      </c>
    </row>
    <row r="3" spans="1:5">
      <c r="A3">
        <v>20</v>
      </c>
      <c r="B3" s="2">
        <v>0.56000000000000005</v>
      </c>
      <c r="C3" s="2">
        <v>0.46</v>
      </c>
      <c r="D3" s="2">
        <v>0.4</v>
      </c>
      <c r="E3" s="2">
        <v>0.28000000000000003</v>
      </c>
    </row>
    <row r="4" spans="1:5">
      <c r="A4">
        <v>30</v>
      </c>
      <c r="B4" s="2">
        <v>0.72</v>
      </c>
      <c r="C4" s="2">
        <v>0.6</v>
      </c>
      <c r="D4" s="2">
        <v>0.54</v>
      </c>
      <c r="E4" s="2">
        <v>0.38</v>
      </c>
    </row>
    <row r="5" spans="1:5">
      <c r="A5">
        <v>50</v>
      </c>
      <c r="B5" s="2">
        <v>0.86</v>
      </c>
      <c r="C5" s="2">
        <v>0.76</v>
      </c>
      <c r="D5" s="2">
        <v>0.68</v>
      </c>
      <c r="E5" s="2">
        <v>0.54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topLeftCell="D1" workbookViewId="0">
      <pane ySplit="1" topLeftCell="A2" activePane="bottomLeft" state="frozen"/>
      <selection pane="bottomLeft" activeCell="G1" sqref="G1:G1048576"/>
    </sheetView>
  </sheetViews>
  <sheetFormatPr defaultRowHeight="13.8"/>
  <cols>
    <col min="1" max="1" width="16" customWidth="1"/>
    <col min="2" max="2" width="22" customWidth="1"/>
    <col min="3" max="3" width="21" customWidth="1"/>
    <col min="4" max="5" width="23" customWidth="1"/>
    <col min="6" max="6" width="25" customWidth="1"/>
  </cols>
  <sheetData>
    <row r="1" spans="1:6" ht="30" customHeight="1">
      <c r="A1" s="1" t="s">
        <v>49</v>
      </c>
      <c r="B1" s="1" t="s">
        <v>35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>
        <v>10</v>
      </c>
      <c r="B2" t="s">
        <v>40</v>
      </c>
      <c r="C2" s="2">
        <f>'Remediation Budgets'!B2</f>
        <v>0.38</v>
      </c>
      <c r="D2">
        <f>ROUND(C2*'Experimental Config'!$B$2,0)</f>
        <v>475</v>
      </c>
      <c r="E2">
        <f>'Experimental Config'!$B$2-D2</f>
        <v>775</v>
      </c>
      <c r="F2" s="2">
        <f>E2/'Experimental Config'!$B$2</f>
        <v>0.62</v>
      </c>
    </row>
    <row r="3" spans="1:6">
      <c r="A3">
        <v>10</v>
      </c>
      <c r="B3" t="s">
        <v>41</v>
      </c>
      <c r="C3" s="2">
        <f>'Remediation Budgets'!C2</f>
        <v>0.3</v>
      </c>
      <c r="D3">
        <f>ROUND(C3*'Experimental Config'!$B$2,0)</f>
        <v>375</v>
      </c>
      <c r="E3">
        <f>'Experimental Config'!$B$2-D3</f>
        <v>875</v>
      </c>
      <c r="F3" s="2">
        <f>E3/'Experimental Config'!$B$2</f>
        <v>0.7</v>
      </c>
    </row>
    <row r="4" spans="1:6">
      <c r="A4">
        <v>10</v>
      </c>
      <c r="B4" t="s">
        <v>42</v>
      </c>
      <c r="C4" s="2">
        <f>'Remediation Budgets'!D2</f>
        <v>0.26</v>
      </c>
      <c r="D4">
        <f>ROUND(C4*'Experimental Config'!$B$2,0)</f>
        <v>325</v>
      </c>
      <c r="E4">
        <f>'Experimental Config'!$B$2-D4</f>
        <v>925</v>
      </c>
      <c r="F4" s="2">
        <f>E4/'Experimental Config'!$B$2</f>
        <v>0.74</v>
      </c>
    </row>
    <row r="5" spans="1:6">
      <c r="A5">
        <v>10</v>
      </c>
      <c r="B5" t="s">
        <v>43</v>
      </c>
      <c r="C5" s="2">
        <f>'Remediation Budgets'!E2</f>
        <v>0.18</v>
      </c>
      <c r="D5">
        <f>ROUND(C5*'Experimental Config'!$B$2,0)</f>
        <v>225</v>
      </c>
      <c r="E5">
        <f>'Experimental Config'!$B$2-D5</f>
        <v>1025</v>
      </c>
      <c r="F5" s="2">
        <f>E5/'Experimental Config'!$B$2</f>
        <v>0.82</v>
      </c>
    </row>
    <row r="6" spans="1:6">
      <c r="A6">
        <v>20</v>
      </c>
      <c r="B6" t="s">
        <v>40</v>
      </c>
      <c r="C6" s="2">
        <f>'Remediation Budgets'!B3</f>
        <v>0.56000000000000005</v>
      </c>
      <c r="D6">
        <f>ROUND(C6*'Experimental Config'!$B$2,0)</f>
        <v>700</v>
      </c>
      <c r="E6">
        <f>'Experimental Config'!$B$2-D6</f>
        <v>550</v>
      </c>
      <c r="F6" s="2">
        <f>E6/'Experimental Config'!$B$2</f>
        <v>0.44</v>
      </c>
    </row>
    <row r="7" spans="1:6">
      <c r="A7">
        <v>20</v>
      </c>
      <c r="B7" t="s">
        <v>41</v>
      </c>
      <c r="C7" s="2">
        <f>'Remediation Budgets'!C3</f>
        <v>0.46</v>
      </c>
      <c r="D7">
        <f>ROUND(C7*'Experimental Config'!$B$2,0)</f>
        <v>575</v>
      </c>
      <c r="E7">
        <f>'Experimental Config'!$B$2-D7</f>
        <v>675</v>
      </c>
      <c r="F7" s="2">
        <f>E7/'Experimental Config'!$B$2</f>
        <v>0.54</v>
      </c>
    </row>
    <row r="8" spans="1:6">
      <c r="A8">
        <v>20</v>
      </c>
      <c r="B8" t="s">
        <v>42</v>
      </c>
      <c r="C8" s="2">
        <f>'Remediation Budgets'!D3</f>
        <v>0.4</v>
      </c>
      <c r="D8">
        <f>ROUND(C8*'Experimental Config'!$B$2,0)</f>
        <v>500</v>
      </c>
      <c r="E8">
        <f>'Experimental Config'!$B$2-D8</f>
        <v>750</v>
      </c>
      <c r="F8" s="2">
        <f>E8/'Experimental Config'!$B$2</f>
        <v>0.6</v>
      </c>
    </row>
    <row r="9" spans="1:6">
      <c r="A9">
        <v>20</v>
      </c>
      <c r="B9" t="s">
        <v>43</v>
      </c>
      <c r="C9" s="2">
        <f>'Remediation Budgets'!E3</f>
        <v>0.28000000000000003</v>
      </c>
      <c r="D9">
        <f>ROUND(C9*'Experimental Config'!$B$2,0)</f>
        <v>350</v>
      </c>
      <c r="E9">
        <f>'Experimental Config'!$B$2-D9</f>
        <v>900</v>
      </c>
      <c r="F9" s="2">
        <f>E9/'Experimental Config'!$B$2</f>
        <v>0.72</v>
      </c>
    </row>
    <row r="10" spans="1:6">
      <c r="A10">
        <v>30</v>
      </c>
      <c r="B10" t="s">
        <v>40</v>
      </c>
      <c r="C10" s="2">
        <f>'Remediation Budgets'!B4</f>
        <v>0.72</v>
      </c>
      <c r="D10">
        <f>ROUND(C10*'Experimental Config'!$B$2,0)</f>
        <v>900</v>
      </c>
      <c r="E10">
        <f>'Experimental Config'!$B$2-D10</f>
        <v>350</v>
      </c>
      <c r="F10" s="2">
        <f>E10/'Experimental Config'!$B$2</f>
        <v>0.28000000000000003</v>
      </c>
    </row>
    <row r="11" spans="1:6">
      <c r="A11">
        <v>30</v>
      </c>
      <c r="B11" t="s">
        <v>41</v>
      </c>
      <c r="C11" s="2">
        <f>'Remediation Budgets'!C4</f>
        <v>0.6</v>
      </c>
      <c r="D11">
        <f>ROUND(C11*'Experimental Config'!$B$2,0)</f>
        <v>750</v>
      </c>
      <c r="E11">
        <f>'Experimental Config'!$B$2-D11</f>
        <v>500</v>
      </c>
      <c r="F11" s="2">
        <f>E11/'Experimental Config'!$B$2</f>
        <v>0.4</v>
      </c>
    </row>
    <row r="12" spans="1:6">
      <c r="A12">
        <v>30</v>
      </c>
      <c r="B12" t="s">
        <v>42</v>
      </c>
      <c r="C12" s="2">
        <f>'Remediation Budgets'!D4</f>
        <v>0.54</v>
      </c>
      <c r="D12">
        <f>ROUND(C12*'Experimental Config'!$B$2,0)</f>
        <v>675</v>
      </c>
      <c r="E12">
        <f>'Experimental Config'!$B$2-D12</f>
        <v>575</v>
      </c>
      <c r="F12" s="2">
        <f>E12/'Experimental Config'!$B$2</f>
        <v>0.46</v>
      </c>
    </row>
    <row r="13" spans="1:6">
      <c r="A13">
        <v>30</v>
      </c>
      <c r="B13" t="s">
        <v>43</v>
      </c>
      <c r="C13" s="2">
        <f>'Remediation Budgets'!E4</f>
        <v>0.38</v>
      </c>
      <c r="D13">
        <f>ROUND(C13*'Experimental Config'!$B$2,0)</f>
        <v>475</v>
      </c>
      <c r="E13">
        <f>'Experimental Config'!$B$2-D13</f>
        <v>775</v>
      </c>
      <c r="F13" s="2">
        <f>E13/'Experimental Config'!$B$2</f>
        <v>0.62</v>
      </c>
    </row>
    <row r="14" spans="1:6">
      <c r="A14">
        <v>50</v>
      </c>
      <c r="B14" t="s">
        <v>40</v>
      </c>
      <c r="C14" s="2">
        <f>'Remediation Budgets'!B5</f>
        <v>0.86</v>
      </c>
      <c r="D14">
        <f>ROUND(C14*'Experimental Config'!$B$2,0)</f>
        <v>1075</v>
      </c>
      <c r="E14">
        <f>'Experimental Config'!$B$2-D14</f>
        <v>175</v>
      </c>
      <c r="F14" s="2">
        <f>E14/'Experimental Config'!$B$2</f>
        <v>0.14000000000000001</v>
      </c>
    </row>
    <row r="15" spans="1:6">
      <c r="A15">
        <v>50</v>
      </c>
      <c r="B15" t="s">
        <v>41</v>
      </c>
      <c r="C15" s="2">
        <f>'Remediation Budgets'!C5</f>
        <v>0.76</v>
      </c>
      <c r="D15">
        <f>ROUND(C15*'Experimental Config'!$B$2,0)</f>
        <v>950</v>
      </c>
      <c r="E15">
        <f>'Experimental Config'!$B$2-D15</f>
        <v>300</v>
      </c>
      <c r="F15" s="2">
        <f>E15/'Experimental Config'!$B$2</f>
        <v>0.24</v>
      </c>
    </row>
    <row r="16" spans="1:6">
      <c r="A16">
        <v>50</v>
      </c>
      <c r="B16" t="s">
        <v>42</v>
      </c>
      <c r="C16" s="2">
        <f>'Remediation Budgets'!D5</f>
        <v>0.68</v>
      </c>
      <c r="D16">
        <f>ROUND(C16*'Experimental Config'!$B$2,0)</f>
        <v>850</v>
      </c>
      <c r="E16">
        <f>'Experimental Config'!$B$2-D16</f>
        <v>400</v>
      </c>
      <c r="F16" s="2">
        <f>E16/'Experimental Config'!$B$2</f>
        <v>0.32</v>
      </c>
    </row>
    <row r="17" spans="1:6">
      <c r="A17">
        <v>50</v>
      </c>
      <c r="B17" t="s">
        <v>43</v>
      </c>
      <c r="C17" s="2">
        <f>'Remediation Budgets'!E5</f>
        <v>0.54</v>
      </c>
      <c r="D17">
        <f>ROUND(C17*'Experimental Config'!$B$2,0)</f>
        <v>675</v>
      </c>
      <c r="E17">
        <f>'Experimental Config'!$B$2-D17</f>
        <v>575</v>
      </c>
      <c r="F17" s="2">
        <f>E17/'Experimental Config'!$B$2</f>
        <v>0.46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pane ySplit="1" topLeftCell="A2" activePane="bottomLeft" state="frozen"/>
      <selection pane="bottomLeft" activeCell="E1" sqref="E1:E1048576"/>
    </sheetView>
  </sheetViews>
  <sheetFormatPr defaultRowHeight="13.8"/>
  <cols>
    <col min="1" max="2" width="24" customWidth="1"/>
    <col min="3" max="3" width="27" customWidth="1"/>
    <col min="4" max="4" width="20" customWidth="1"/>
  </cols>
  <sheetData>
    <row r="1" spans="1:4" ht="30" customHeight="1">
      <c r="A1" s="1" t="s">
        <v>35</v>
      </c>
      <c r="B1" s="1" t="s">
        <v>54</v>
      </c>
      <c r="C1" s="1" t="s">
        <v>55</v>
      </c>
      <c r="D1" s="1" t="s">
        <v>56</v>
      </c>
    </row>
    <row r="2" spans="1:4">
      <c r="A2" t="s">
        <v>40</v>
      </c>
      <c r="B2">
        <v>80</v>
      </c>
      <c r="C2">
        <v>20</v>
      </c>
      <c r="D2" s="3">
        <f>(B2-C2)/B2</f>
        <v>0.75</v>
      </c>
    </row>
    <row r="3" spans="1:4">
      <c r="A3" t="s">
        <v>41</v>
      </c>
      <c r="B3">
        <v>80</v>
      </c>
      <c r="C3">
        <v>29</v>
      </c>
      <c r="D3" s="3">
        <f>(B3-C3)/B3</f>
        <v>0.63749999999999996</v>
      </c>
    </row>
    <row r="4" spans="1:4">
      <c r="A4" t="s">
        <v>42</v>
      </c>
      <c r="B4">
        <v>80</v>
      </c>
      <c r="C4">
        <v>35</v>
      </c>
      <c r="D4" s="3">
        <f>(B4-C4)/B4</f>
        <v>0.5625</v>
      </c>
    </row>
    <row r="5" spans="1:4">
      <c r="A5" t="s">
        <v>43</v>
      </c>
      <c r="B5">
        <v>80</v>
      </c>
      <c r="C5">
        <v>47</v>
      </c>
      <c r="D5" s="3">
        <f>(B5-C5)/B5</f>
        <v>0.41249999999999998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 activeCell="E1" sqref="E1:E1048576"/>
    </sheetView>
  </sheetViews>
  <sheetFormatPr defaultRowHeight="13.8"/>
  <cols>
    <col min="1" max="1" width="23" customWidth="1"/>
    <col min="2" max="2" width="17" customWidth="1"/>
    <col min="3" max="3" width="26" customWidth="1"/>
    <col min="4" max="4" width="29" customWidth="1"/>
  </cols>
  <sheetData>
    <row r="1" spans="1:4" ht="30" customHeight="1">
      <c r="A1" s="1" t="s">
        <v>35</v>
      </c>
      <c r="B1" s="1" t="s">
        <v>49</v>
      </c>
      <c r="C1" s="1" t="s">
        <v>51</v>
      </c>
      <c r="D1" s="1" t="s">
        <v>57</v>
      </c>
    </row>
    <row r="2" spans="1:4">
      <c r="A2" t="s">
        <v>40</v>
      </c>
      <c r="B2">
        <v>30</v>
      </c>
      <c r="C2">
        <f>'Attack Path Counts'!D10</f>
        <v>900</v>
      </c>
      <c r="D2" s="4">
        <f>C2/B2</f>
        <v>30</v>
      </c>
    </row>
    <row r="3" spans="1:4">
      <c r="A3" t="s">
        <v>41</v>
      </c>
      <c r="B3">
        <v>30</v>
      </c>
      <c r="C3">
        <f>'Attack Path Counts'!D11</f>
        <v>750</v>
      </c>
      <c r="D3" s="4">
        <f>C3/B3</f>
        <v>25</v>
      </c>
    </row>
    <row r="4" spans="1:4">
      <c r="A4" t="s">
        <v>42</v>
      </c>
      <c r="B4">
        <v>30</v>
      </c>
      <c r="C4">
        <f>'Attack Path Counts'!D12</f>
        <v>675</v>
      </c>
      <c r="D4" s="4">
        <f>C4/B4</f>
        <v>22.5</v>
      </c>
    </row>
    <row r="5" spans="1:4">
      <c r="A5" t="s">
        <v>43</v>
      </c>
      <c r="B5">
        <v>30</v>
      </c>
      <c r="C5">
        <f>'Attack Path Counts'!D13</f>
        <v>475</v>
      </c>
      <c r="D5" s="4">
        <f>C5/B5</f>
        <v>15.833333333333334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3.8"/>
  <cols>
    <col min="1" max="1" width="51" customWidth="1"/>
    <col min="2" max="2" width="100" customWidth="1"/>
  </cols>
  <sheetData>
    <row r="1" spans="1:2" ht="30" customHeight="1">
      <c r="A1" s="1" t="s">
        <v>58</v>
      </c>
      <c r="B1" s="1" t="s">
        <v>59</v>
      </c>
    </row>
    <row r="2" spans="1:2">
      <c r="A2" t="s">
        <v>60</v>
      </c>
      <c r="B2" t="s">
        <v>61</v>
      </c>
    </row>
    <row r="3" spans="1:2">
      <c r="A3" t="s">
        <v>62</v>
      </c>
      <c r="B3" t="s">
        <v>63</v>
      </c>
    </row>
    <row r="4" spans="1:2">
      <c r="A4" t="s">
        <v>64</v>
      </c>
      <c r="B4" t="s">
        <v>65</v>
      </c>
    </row>
    <row r="5" spans="1:2">
      <c r="A5" t="s">
        <v>66</v>
      </c>
      <c r="B5" t="s">
        <v>67</v>
      </c>
    </row>
    <row r="6" spans="1:2">
      <c r="A6" t="s">
        <v>68</v>
      </c>
      <c r="B6" t="s">
        <v>69</v>
      </c>
    </row>
    <row r="7" spans="1:2">
      <c r="A7" t="s">
        <v>70</v>
      </c>
      <c r="B7" t="s">
        <v>71</v>
      </c>
    </row>
    <row r="8" spans="1:2">
      <c r="A8" t="s">
        <v>72</v>
      </c>
      <c r="B8" t="s">
        <v>73</v>
      </c>
    </row>
    <row r="9" spans="1:2">
      <c r="A9" t="s">
        <v>74</v>
      </c>
      <c r="B9" t="s">
        <v>75</v>
      </c>
    </row>
    <row r="10" spans="1:2">
      <c r="A10" t="s">
        <v>76</v>
      </c>
      <c r="B10" t="s">
        <v>77</v>
      </c>
    </row>
    <row r="11" spans="1:2">
      <c r="A11" t="s">
        <v>78</v>
      </c>
      <c r="B1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Experimental Config</vt:lpstr>
      <vt:lpstr>Model Results</vt:lpstr>
      <vt:lpstr>Remediation Budgets</vt:lpstr>
      <vt:lpstr>Attack Path Counts</vt:lpstr>
      <vt:lpstr>Critical Reachability</vt:lpstr>
      <vt:lpstr>Remediation Efficiency</vt:lpstr>
      <vt:lpstr>Validation 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Mahoney</dc:creator>
  <cp:lastModifiedBy>Austin Mahoney</cp:lastModifiedBy>
  <dcterms:created xsi:type="dcterms:W3CDTF">2026-10-10T00:32:53Z</dcterms:created>
  <dcterms:modified xsi:type="dcterms:W3CDTF">2026-10-10T00:32:53Z</dcterms:modified>
</cp:coreProperties>
</file>